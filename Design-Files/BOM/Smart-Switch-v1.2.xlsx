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adamkop-smartswitch\Design-Files\BOM\"/>
    </mc:Choice>
  </mc:AlternateContent>
  <xr:revisionPtr revIDLastSave="0" documentId="13_ncr:1_{8D38C6FB-BEF3-4A6A-A2F5-EC86959C69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A52" i="1" l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<sst xmlns="http://schemas.openxmlformats.org/spreadsheetml/2006/main" count="364" uniqueCount="267">
  <si>
    <t>#</t>
  </si>
  <si>
    <t>Item Type</t>
  </si>
  <si>
    <t>Capacitor</t>
  </si>
  <si>
    <t>Electrolytic Capacitor</t>
  </si>
  <si>
    <t>Diode</t>
  </si>
  <si>
    <t>Schottky Diode</t>
  </si>
  <si>
    <t>Screw terminal</t>
  </si>
  <si>
    <t>Connector</t>
  </si>
  <si>
    <t>Relay</t>
  </si>
  <si>
    <t>Through Hole Inductor</t>
  </si>
  <si>
    <t>Inductor</t>
  </si>
  <si>
    <t>RGB LED</t>
  </si>
  <si>
    <t>TEST POINT</t>
  </si>
  <si>
    <t>Mosfet</t>
  </si>
  <si>
    <t>Through Hole Resistor</t>
  </si>
  <si>
    <t>Resistor</t>
  </si>
  <si>
    <t>NTC Thermistor</t>
  </si>
  <si>
    <t>Switch</t>
  </si>
  <si>
    <t>IC</t>
  </si>
  <si>
    <t>Optocoupler</t>
  </si>
  <si>
    <t>Crystal</t>
  </si>
  <si>
    <t>Designator</t>
  </si>
  <si>
    <t>C1, C2</t>
  </si>
  <si>
    <t>C3</t>
  </si>
  <si>
    <t>C4</t>
  </si>
  <si>
    <t>C6</t>
  </si>
  <si>
    <t>C7</t>
  </si>
  <si>
    <t>C8</t>
  </si>
  <si>
    <t>C9</t>
  </si>
  <si>
    <t>C10, C12, C14</t>
  </si>
  <si>
    <t>C11, C13, C16, C17, C19, C20, C22, C24, C27, C30, C32</t>
  </si>
  <si>
    <t>C15, C21, C33</t>
  </si>
  <si>
    <t>C18</t>
  </si>
  <si>
    <t>C25, C26</t>
  </si>
  <si>
    <t>C28</t>
  </si>
  <si>
    <t>C29</t>
  </si>
  <si>
    <t>C31</t>
  </si>
  <si>
    <t>D1, D2</t>
  </si>
  <si>
    <t>D3</t>
  </si>
  <si>
    <t>D4, D5</t>
  </si>
  <si>
    <t>D6</t>
  </si>
  <si>
    <t>J1</t>
  </si>
  <si>
    <t>J2</t>
  </si>
  <si>
    <t>K1</t>
  </si>
  <si>
    <t>L1</t>
  </si>
  <si>
    <t>L2</t>
  </si>
  <si>
    <t>L3</t>
  </si>
  <si>
    <t>L4</t>
  </si>
  <si>
    <t>L5</t>
  </si>
  <si>
    <t>LED1</t>
  </si>
  <si>
    <t>P1, P2, P3</t>
  </si>
  <si>
    <t>Q1</t>
  </si>
  <si>
    <t>R1</t>
  </si>
  <si>
    <t>R2</t>
  </si>
  <si>
    <t>R3, R4</t>
  </si>
  <si>
    <t>R5</t>
  </si>
  <si>
    <t>R6</t>
  </si>
  <si>
    <t>R7, R15</t>
  </si>
  <si>
    <t>R8</t>
  </si>
  <si>
    <t>R9</t>
  </si>
  <si>
    <t>R10</t>
  </si>
  <si>
    <t>R11</t>
  </si>
  <si>
    <t>R12, R13</t>
  </si>
  <si>
    <t>R14</t>
  </si>
  <si>
    <t>R16</t>
  </si>
  <si>
    <t>R17, R18</t>
  </si>
  <si>
    <t>R19</t>
  </si>
  <si>
    <t>SW1, SW2</t>
  </si>
  <si>
    <t>U1</t>
  </si>
  <si>
    <t>U2</t>
  </si>
  <si>
    <t>U4</t>
  </si>
  <si>
    <t>U5</t>
  </si>
  <si>
    <t>X1</t>
  </si>
  <si>
    <t>Description</t>
  </si>
  <si>
    <t>6.8uF 400V ±20% Plugin,D6.3xL13mm Aluminum Electrolytic Capacitors - Leaded ROHS</t>
  </si>
  <si>
    <t>CAP CER 4.7UF 50V X5R 0805</t>
  </si>
  <si>
    <t>CAP CER 100PF 50V C0G/NPO 0603</t>
  </si>
  <si>
    <t>CAP CER 330PF 50V X7R 0603</t>
  </si>
  <si>
    <t>CAP CER 0.022UF 50V X7R 0603</t>
  </si>
  <si>
    <t>CAP CER 0.22UF 50V X7R 1206</t>
  </si>
  <si>
    <t>680uF 10V 50mΩ@300kHz ±20% 980mA@100kHz Plugin,D6.3xL11mm Aluminum Electrolytic Capacitors - Leaded ROHS</t>
  </si>
  <si>
    <t>CAP CER 10UF 10V X5R 0402</t>
  </si>
  <si>
    <t>CAP CER 0.1UF 25V X5R 0201</t>
  </si>
  <si>
    <t>CAP CER 1UF 16V X5R 0201</t>
  </si>
  <si>
    <t>CAP CER 1UF 16V X5R 0402</t>
  </si>
  <si>
    <t>CAP CER 22PF 50V C0G/NP0 0201</t>
  </si>
  <si>
    <t>CAP CER 2.7PF 50V C0G/NPO 0201</t>
  </si>
  <si>
    <t>CAP CER 4.7PF 50V C0G/NPO 0201</t>
  </si>
  <si>
    <t>CAP TANT 33UF 10% 10V 1411</t>
  </si>
  <si>
    <t>DIODE GEN PURP 1KV 1A SMA</t>
  </si>
  <si>
    <t>DIODE SCHOTTKY 100V 150MA SOD123</t>
  </si>
  <si>
    <t>Diode Standard 600V 1A Surface Mount SMA</t>
  </si>
  <si>
    <t>DIODE GEN PURP 75V 200MA SOD523F</t>
  </si>
  <si>
    <t>1x5P -40℃~+105℃ 15A 250V Green 14~26 Straight pin 5mm 1.5 1 5 Plugin,P=5mm Screw terminal ROHS</t>
  </si>
  <si>
    <t>1x6P SH 1 1mm 6 SMD,P=1mm Wire To Board / Wire To Wire Connector ROHS</t>
  </si>
  <si>
    <t>AgSnO2 5V 10A 10A@250VAC Normal Open:1A(SPST-Normal Open) 4 Plugin,10.1x17.6mm Power Relays ROHS</t>
  </si>
  <si>
    <t>200mA 1mH ±20% Plugin,D7xL11mm Color Ring Inductors/Through Hole Inductors ROHS</t>
  </si>
  <si>
    <t>470uH Shielded Power Inductors ±20% 1.5A SMD Power Inductors ROHS</t>
  </si>
  <si>
    <t>FIXED IND 2NH 600MA 100 MOHM SMD</t>
  </si>
  <si>
    <t>FIXED IND 1.6NH 1A 50 MOHM SMD</t>
  </si>
  <si>
    <t>140mA 24nH ±3% 2.3Ω 0201 Inductors (SMD) ROHS</t>
  </si>
  <si>
    <t>Colorless transparence Side stickers -40℃~+85℃ Common anode RGB 120° 60mW SMD,1.5x3.2mm Light Emitting Diodes (LED) ROHS</t>
  </si>
  <si>
    <t>Test Point ON</t>
  </si>
  <si>
    <t>40V 100mW 100@10mA,1V 200mA 300MHz 300mV@50mA,5mA NPN -55℃~+150℃@(Tj) SOT-723 Bipolar Transistors - BJT ROHS</t>
  </si>
  <si>
    <t>Metal Oxide Resistors 10Ω 2W ±350ppm/℃ ±5% Plugin Through Hole Resistors ROHS</t>
  </si>
  <si>
    <t>RES 220K OHM 1% 1/10W 0603</t>
  </si>
  <si>
    <t>RES 22K OHM 1% 1/4W 1206</t>
  </si>
  <si>
    <t>RES SMD 56K OHM 1% 1/10W 0603</t>
  </si>
  <si>
    <t>RES SMD 5.6K OHM 1% 1/8W 0805</t>
  </si>
  <si>
    <t>RES SMD 10K OHM 1% 1/20W 0201</t>
  </si>
  <si>
    <t>RES 499 OHM 1% 1/20W 0201</t>
  </si>
  <si>
    <t>RES 1K OHM 1% 1/16W 0402</t>
  </si>
  <si>
    <t>RES 10K OHM 1% 1/16W 0402</t>
  </si>
  <si>
    <t>THERMISTOR NTC 10KOHM 3380K 0603</t>
  </si>
  <si>
    <t>RES 33K OHM ±5% 500mW Thick Film Resistors 200V 1210 Chip Resistor - Surface Mount ROHS</t>
  </si>
  <si>
    <t>RES 4.7K OHM 1% 1/20W 0201</t>
  </si>
  <si>
    <t>RES SMD 240 OHM 0.1% 1/10W 0603</t>
  </si>
  <si>
    <t>RES SMD 100 OHM 1% 1/4W 0603</t>
  </si>
  <si>
    <t>RES 47K OHM 1% 1/20W 0201</t>
  </si>
  <si>
    <t>SWITCH TACTILE SPST-NO 0.05A 12V</t>
  </si>
  <si>
    <t>IC OFFLINE SWITCH MULT TOP 16SO</t>
  </si>
  <si>
    <t>75dB@(120Hz) 1A Fixed 3.3V~3.3V Positive 15V SOT-89-3 Linear Voltage Regulators (LDO) ROHS</t>
  </si>
  <si>
    <t>21dBm ESP32-S3R8 2.4GHz SMD WiFi Modules ROHS</t>
  </si>
  <si>
    <t>Optocoupler, Transistor, 3.75Kv, Sop-4 Rohs Compliant: Yes</t>
  </si>
  <si>
    <t>40MHz SMD Crystal Resonator 15pF SMD3225-4P Crystals ROHS</t>
  </si>
  <si>
    <t>Footprint</t>
  </si>
  <si>
    <t>KCXC1302G6R8MF</t>
  </si>
  <si>
    <t>Cap-0805</t>
  </si>
  <si>
    <t>Cap-0603</t>
  </si>
  <si>
    <t>Cap-1206</t>
  </si>
  <si>
    <t>SHW680UF10V6.3X11</t>
  </si>
  <si>
    <t>Cap-0402</t>
  </si>
  <si>
    <t>CAP-0201</t>
  </si>
  <si>
    <t>Case-B</t>
  </si>
  <si>
    <t>SMA</t>
  </si>
  <si>
    <t>SOD-123</t>
  </si>
  <si>
    <t>SOD-523F</t>
  </si>
  <si>
    <t>WJ127-5.0-5P</t>
  </si>
  <si>
    <t>Voltlink Target</t>
  </si>
  <si>
    <t>HF32FA-G/005-HSL1</t>
  </si>
  <si>
    <t>SPK0608-102MB</t>
  </si>
  <si>
    <t>SMDRI127-471MT</t>
  </si>
  <si>
    <t>IND-0201</t>
  </si>
  <si>
    <t>MHS110FRGBCT</t>
  </si>
  <si>
    <t>Test-point</t>
  </si>
  <si>
    <t>SOT-723</t>
  </si>
  <si>
    <t>MO2WS VERTICAL TYPE</t>
  </si>
  <si>
    <t>Res-0603</t>
  </si>
  <si>
    <t>Res-1206</t>
  </si>
  <si>
    <t>RES-0805</t>
  </si>
  <si>
    <t>Res-0201</t>
  </si>
  <si>
    <t>Res-0402</t>
  </si>
  <si>
    <t>Res_1210</t>
  </si>
  <si>
    <t>RES-0603</t>
  </si>
  <si>
    <t>B3U-1000P</t>
  </si>
  <si>
    <t>SOP-16</t>
  </si>
  <si>
    <t>SOT-89-3</t>
  </si>
  <si>
    <t>QFNWB-56 (7×7)</t>
  </si>
  <si>
    <t>SOP-4_2.54</t>
  </si>
  <si>
    <t>X322540MPB4SI_</t>
  </si>
  <si>
    <t>Manufacturer Part Number</t>
  </si>
  <si>
    <t>GRM21BR61H475KE51L</t>
  </si>
  <si>
    <t>CC0603JRNPO9BN101</t>
  </si>
  <si>
    <t>CC0603KRX7R9BB331</t>
  </si>
  <si>
    <t>CC0603KRX7R9BB223</t>
  </si>
  <si>
    <t>CC1206JKX7R9BB224</t>
  </si>
  <si>
    <t>CL05A106MP5NUNC</t>
  </si>
  <si>
    <t>GRM033R61E104KE14D</t>
  </si>
  <si>
    <t>GRM033R61C105ME15D</t>
  </si>
  <si>
    <t>CC0402KRX5R7BB105</t>
  </si>
  <si>
    <t>GRM0335C1H220JA01D</t>
  </si>
  <si>
    <t>CC0201CRNPO9BN2R7</t>
  </si>
  <si>
    <t>CC0201BRNPO9BN4R7</t>
  </si>
  <si>
    <t>TAJB336K010RNJ</t>
  </si>
  <si>
    <t>MRA4007T3G</t>
  </si>
  <si>
    <t>BAT46ZFILM</t>
  </si>
  <si>
    <t>STTH1L06A</t>
  </si>
  <si>
    <t>1N4148WT</t>
  </si>
  <si>
    <t>C145963</t>
  </si>
  <si>
    <t>MLG0603P2N0CT000</t>
  </si>
  <si>
    <t>LQP03HQ1N6B02D</t>
  </si>
  <si>
    <t>LQP03TN24NH02D</t>
  </si>
  <si>
    <t>MMBT3904M</t>
  </si>
  <si>
    <t>MO2WS-10Ω±5%-6T63</t>
  </si>
  <si>
    <t>CRGCQ0603F220K</t>
  </si>
  <si>
    <t>CRCW120622K0FKEAC</t>
  </si>
  <si>
    <t>AC0603FR-0756KL</t>
  </si>
  <si>
    <t>CRCW08055K60FKEA</t>
  </si>
  <si>
    <t>RC0201FR-0710KL</t>
  </si>
  <si>
    <t>RC0201FR-07499RL</t>
  </si>
  <si>
    <t>RC0402FR-071KL</t>
  </si>
  <si>
    <t>RC0402FR-0710KL</t>
  </si>
  <si>
    <t>B57332V5103F360</t>
  </si>
  <si>
    <t>SCR1210J33K</t>
  </si>
  <si>
    <t>RC0201FR-074K7L</t>
  </si>
  <si>
    <t>RT0603BRD07240RL</t>
  </si>
  <si>
    <t>RCA0603100RFKEAHP</t>
  </si>
  <si>
    <t>RC0201FR-0747KL</t>
  </si>
  <si>
    <t>VIPER319XDTR</t>
  </si>
  <si>
    <t>LD1117AG-33-AB3-A-R</t>
  </si>
  <si>
    <t>ESP32-S3FH4R2</t>
  </si>
  <si>
    <t>PS2705-1-F3-A</t>
  </si>
  <si>
    <t>X322540MPB4SI</t>
  </si>
  <si>
    <t>Manufacturer</t>
  </si>
  <si>
    <t>Ymin</t>
  </si>
  <si>
    <t>Murata</t>
  </si>
  <si>
    <t>Yageo</t>
  </si>
  <si>
    <t>KNSCHA</t>
  </si>
  <si>
    <t>Samsung</t>
  </si>
  <si>
    <t>Kyocera AVX</t>
  </si>
  <si>
    <t>ON Semiconductor</t>
  </si>
  <si>
    <t>STMicroelectronics</t>
  </si>
  <si>
    <t>ON Semiconductor / Fairchild</t>
  </si>
  <si>
    <t>Ningbo Kangnex Elec</t>
  </si>
  <si>
    <t>BOOMELE</t>
  </si>
  <si>
    <t>HF</t>
  </si>
  <si>
    <t>LanTu Micro</t>
  </si>
  <si>
    <t>SXN(Shun Xiang Nuo Elec)</t>
  </si>
  <si>
    <t>TDK</t>
  </si>
  <si>
    <t>MEIHUA</t>
  </si>
  <si>
    <t>TECH PUBLIC</t>
  </si>
  <si>
    <t>VO</t>
  </si>
  <si>
    <t>TE Connectivity</t>
  </si>
  <si>
    <t>Vishay</t>
  </si>
  <si>
    <t>TDK EPCOS</t>
  </si>
  <si>
    <t>Vishay Dale</t>
  </si>
  <si>
    <t>Omron</t>
  </si>
  <si>
    <t>UTC</t>
  </si>
  <si>
    <t>Espressif Systems</t>
  </si>
  <si>
    <t>Renesas</t>
  </si>
  <si>
    <t>Yangxing Tech</t>
  </si>
  <si>
    <t>6.8uF</t>
  </si>
  <si>
    <t>4.7uF</t>
  </si>
  <si>
    <t>100pF</t>
  </si>
  <si>
    <t>330pF</t>
  </si>
  <si>
    <t>22nF</t>
  </si>
  <si>
    <t>220nF</t>
  </si>
  <si>
    <t>680uF</t>
  </si>
  <si>
    <t>10uF</t>
  </si>
  <si>
    <t>0.1uf</t>
  </si>
  <si>
    <t>1uF</t>
  </si>
  <si>
    <t>22PF</t>
  </si>
  <si>
    <t>2.7pF</t>
  </si>
  <si>
    <t>4.7pF</t>
  </si>
  <si>
    <t>33uF</t>
  </si>
  <si>
    <t>1mH</t>
  </si>
  <si>
    <t>470uH</t>
  </si>
  <si>
    <t>2nH</t>
  </si>
  <si>
    <t>1.6nH</t>
  </si>
  <si>
    <t>24nH</t>
  </si>
  <si>
    <t>10R</t>
  </si>
  <si>
    <t>220K</t>
  </si>
  <si>
    <t>22K</t>
  </si>
  <si>
    <t>56K</t>
  </si>
  <si>
    <t>5.6K</t>
  </si>
  <si>
    <t>10K</t>
  </si>
  <si>
    <t>499R</t>
  </si>
  <si>
    <t>1K</t>
  </si>
  <si>
    <t>10k</t>
  </si>
  <si>
    <t>33K</t>
  </si>
  <si>
    <t>4.7K</t>
  </si>
  <si>
    <t>240R</t>
  </si>
  <si>
    <t>100R</t>
  </si>
  <si>
    <t>47K</t>
  </si>
  <si>
    <t>40MHz</t>
  </si>
  <si>
    <t>Quantity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</si>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</sst>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1" applyFill="1" applyBorder="1" applyAlignment="1" applyProtection="1">
      <alignment horizontal="left" vertical="top"/>
      <protection locked="0"/>
    </xf>
    <xf numFmtId="0" fontId="2" fillId="3" borderId="1" xfId="0" applyFont="1" applyFill="1" applyBorder="1" applyAlignment="1" applyProtection="1">
      <alignment horizontal="left" vertical="top"/>
      <protection locked="0"/>
    </xf>
    <xf numFmtId="0" fontId="3" fillId="3" borderId="7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4" borderId="8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1" fillId="3" borderId="4" xfId="0" applyFont="1" applyFill="1" applyBorder="1" applyAlignment="1" applyProtection="1">
      <alignment horizontal="center" vertical="center"/>
      <protection locked="0"/>
    </xf>
    <xf numFmtId="0" fontId="1" fillId="3" borderId="5" xfId="0" applyFont="1" applyFill="1" applyBorder="1" applyAlignment="1" applyProtection="1">
      <alignment vertical="center"/>
      <protection locked="0"/>
    </xf>
    <xf numFmtId="0" fontId="2" fillId="3" borderId="5" xfId="0" applyFont="1" applyFill="1" applyBorder="1" applyAlignment="1" applyProtection="1">
      <alignment horizontal="left" vertical="center"/>
      <protection locked="0"/>
    </xf>
    <xf numFmtId="0" fontId="0" fillId="3" borderId="5" xfId="0" applyFill="1" applyBorder="1" applyAlignment="1">
      <alignment vertical="center"/>
    </xf>
    <xf numFmtId="0" fontId="0" fillId="3" borderId="5" xfId="0" applyFill="1" applyBorder="1"/>
    <xf numFmtId="0" fontId="5" fillId="2" borderId="9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top"/>
      <protection locked="0"/>
    </xf>
    <xf numFmtId="0" fontId="1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4"/>
  <sheetViews>
    <sheetView tabSelected="1" topLeftCell="A34" workbookViewId="0">
      <selection activeCell="K6" sqref="K6"/>
    </sheetView>
  </sheetViews>
  <sheetFormatPr defaultRowHeight="15" x14ac:dyDescent="0.25"/>
  <cols>
    <col min="1" max="1" width="3.140625" style="4" customWidth="1"/>
    <col min="2" max="2" width="18.7109375" style="4" bestFit="1" customWidth="1"/>
    <col min="3" max="3" width="36" bestFit="1" customWidth="1"/>
    <col min="4" max="4" width="30" customWidth="1"/>
    <col min="5" max="5" width="26.5703125" bestFit="1" customWidth="1"/>
    <col min="6" max="6" width="33.42578125" bestFit="1" customWidth="1"/>
    <col min="7" max="7" width="21.42578125" bestFit="1" customWidth="1"/>
    <col min="8" max="8" width="17.85546875" bestFit="1" customWidth="1"/>
    <col min="9" max="9" width="16.7109375" bestFit="1" customWidth="1"/>
  </cols>
  <sheetData>
    <row r="1" spans="1:9" ht="15.75" thickBot="1" x14ac:dyDescent="0.3">
      <c r="A1" s="5" t="s">
        <v>0</v>
      </c>
      <c r="B1" s="5" t="s">
        <v>1</v>
      </c>
      <c r="C1" s="5" t="s">
        <v>21</v>
      </c>
      <c r="D1" s="6" t="s">
        <v>73</v>
      </c>
      <c r="E1" s="5" t="s">
        <v>125</v>
      </c>
      <c r="F1" s="6" t="s">
        <v>160</v>
      </c>
      <c r="G1" s="5" t="s">
        <v>203</v>
      </c>
      <c r="H1" s="6" t="s">
        <v>266</v>
      </c>
      <c r="I1" s="5" t="s">
        <v>265</v>
      </c>
    </row>
    <row r="2" spans="1:9" ht="36.75" thickBot="1" x14ac:dyDescent="0.3">
      <c r="A2" s="18">
        <f>ROW(A2) - ROW($A$1)</f>
        <v>1</v>
      </c>
      <c r="B2" s="12" t="s">
        <v>2</v>
      </c>
      <c r="C2" s="12" t="s">
        <v>22</v>
      </c>
      <c r="D2" s="13" t="s">
        <v>74</v>
      </c>
      <c r="E2" s="12" t="s">
        <v>126</v>
      </c>
      <c r="F2" s="13" t="s">
        <v>126</v>
      </c>
      <c r="G2" s="12" t="s">
        <v>204</v>
      </c>
      <c r="H2" s="13" t="s">
        <v>231</v>
      </c>
      <c r="I2" s="12">
        <v>2</v>
      </c>
    </row>
    <row r="3" spans="1:9" ht="15.75" thickBot="1" x14ac:dyDescent="0.3">
      <c r="A3" s="18">
        <f t="shared" ref="A3:A51" si="0">ROW(A3) - ROW($A$1)</f>
        <v>2</v>
      </c>
      <c r="B3" s="14" t="s">
        <v>2</v>
      </c>
      <c r="C3" s="14" t="s">
        <v>23</v>
      </c>
      <c r="D3" s="15" t="s">
        <v>75</v>
      </c>
      <c r="E3" s="14" t="s">
        <v>127</v>
      </c>
      <c r="F3" s="15" t="s">
        <v>161</v>
      </c>
      <c r="G3" s="14" t="s">
        <v>205</v>
      </c>
      <c r="H3" s="15" t="s">
        <v>232</v>
      </c>
      <c r="I3" s="14">
        <v>1</v>
      </c>
    </row>
    <row r="4" spans="1:9" ht="15.75" thickBot="1" x14ac:dyDescent="0.3">
      <c r="A4" s="18">
        <f>ROW(A4) - ROW($A$1)</f>
        <v>3</v>
      </c>
      <c r="B4" s="14" t="s">
        <v>2</v>
      </c>
      <c r="C4" s="12" t="s">
        <v>24</v>
      </c>
      <c r="D4" s="13" t="s">
        <v>76</v>
      </c>
      <c r="E4" s="12" t="s">
        <v>128</v>
      </c>
      <c r="F4" s="13" t="s">
        <v>162</v>
      </c>
      <c r="G4" s="12" t="s">
        <v>206</v>
      </c>
      <c r="H4" s="13" t="s">
        <v>233</v>
      </c>
      <c r="I4" s="12">
        <v>1</v>
      </c>
    </row>
    <row r="5" spans="1:9" ht="15.75" thickBot="1" x14ac:dyDescent="0.3">
      <c r="A5" s="18">
        <f t="shared" si="0"/>
        <v>4</v>
      </c>
      <c r="B5" s="14" t="s">
        <v>2</v>
      </c>
      <c r="C5" s="14" t="s">
        <v>25</v>
      </c>
      <c r="D5" s="15" t="s">
        <v>77</v>
      </c>
      <c r="E5" s="14" t="s">
        <v>128</v>
      </c>
      <c r="F5" s="15" t="s">
        <v>163</v>
      </c>
      <c r="G5" s="14" t="s">
        <v>206</v>
      </c>
      <c r="H5" s="15" t="s">
        <v>234</v>
      </c>
      <c r="I5" s="14">
        <v>1</v>
      </c>
    </row>
    <row r="6" spans="1:9" ht="15.75" thickBot="1" x14ac:dyDescent="0.3">
      <c r="A6" s="18">
        <f>ROW(A6) - ROW($A$1)</f>
        <v>5</v>
      </c>
      <c r="B6" s="12" t="s">
        <v>2</v>
      </c>
      <c r="C6" s="12" t="s">
        <v>26</v>
      </c>
      <c r="D6" s="13" t="s">
        <v>78</v>
      </c>
      <c r="E6" s="12" t="s">
        <v>128</v>
      </c>
      <c r="F6" s="13" t="s">
        <v>164</v>
      </c>
      <c r="G6" s="12" t="s">
        <v>206</v>
      </c>
      <c r="H6" s="13" t="s">
        <v>235</v>
      </c>
      <c r="I6" s="12">
        <v>1</v>
      </c>
    </row>
    <row r="7" spans="1:9" ht="15.75" thickBot="1" x14ac:dyDescent="0.3">
      <c r="A7" s="18">
        <f t="shared" si="0"/>
        <v>6</v>
      </c>
      <c r="B7" s="14" t="s">
        <v>2</v>
      </c>
      <c r="C7" s="14" t="s">
        <v>27</v>
      </c>
      <c r="D7" s="15" t="s">
        <v>79</v>
      </c>
      <c r="E7" s="14" t="s">
        <v>129</v>
      </c>
      <c r="F7" s="15" t="s">
        <v>165</v>
      </c>
      <c r="G7" s="14" t="s">
        <v>206</v>
      </c>
      <c r="H7" s="15" t="s">
        <v>236</v>
      </c>
      <c r="I7" s="14">
        <v>1</v>
      </c>
    </row>
    <row r="8" spans="1:9" ht="48.75" thickBot="1" x14ac:dyDescent="0.3">
      <c r="A8" s="18">
        <f>ROW(A8) - ROW($A$1)</f>
        <v>7</v>
      </c>
      <c r="B8" s="12" t="s">
        <v>3</v>
      </c>
      <c r="C8" s="12" t="s">
        <v>28</v>
      </c>
      <c r="D8" s="13" t="s">
        <v>80</v>
      </c>
      <c r="E8" s="12" t="s">
        <v>130</v>
      </c>
      <c r="F8" s="13" t="s">
        <v>130</v>
      </c>
      <c r="G8" s="12" t="s">
        <v>207</v>
      </c>
      <c r="H8" s="13" t="s">
        <v>237</v>
      </c>
      <c r="I8" s="12">
        <v>1</v>
      </c>
    </row>
    <row r="9" spans="1:9" ht="15.75" thickBot="1" x14ac:dyDescent="0.3">
      <c r="A9" s="18">
        <f t="shared" si="0"/>
        <v>8</v>
      </c>
      <c r="B9" s="14" t="s">
        <v>2</v>
      </c>
      <c r="C9" s="14" t="s">
        <v>29</v>
      </c>
      <c r="D9" s="15" t="s">
        <v>81</v>
      </c>
      <c r="E9" s="14" t="s">
        <v>131</v>
      </c>
      <c r="F9" s="15" t="s">
        <v>166</v>
      </c>
      <c r="G9" s="14" t="s">
        <v>208</v>
      </c>
      <c r="H9" s="15" t="s">
        <v>238</v>
      </c>
      <c r="I9" s="14">
        <v>3</v>
      </c>
    </row>
    <row r="10" spans="1:9" ht="24.75" thickBot="1" x14ac:dyDescent="0.3">
      <c r="A10" s="18">
        <f>ROW(A10) - ROW($A$1)</f>
        <v>9</v>
      </c>
      <c r="B10" s="12" t="s">
        <v>2</v>
      </c>
      <c r="C10" s="12" t="s">
        <v>30</v>
      </c>
      <c r="D10" s="13" t="s">
        <v>82</v>
      </c>
      <c r="E10" s="12" t="s">
        <v>132</v>
      </c>
      <c r="F10" s="13" t="s">
        <v>167</v>
      </c>
      <c r="G10" s="12" t="s">
        <v>205</v>
      </c>
      <c r="H10" s="13" t="s">
        <v>239</v>
      </c>
      <c r="I10" s="12">
        <v>11</v>
      </c>
    </row>
    <row r="11" spans="1:9" ht="15.75" thickBot="1" x14ac:dyDescent="0.3">
      <c r="A11" s="18">
        <f t="shared" si="0"/>
        <v>10</v>
      </c>
      <c r="B11" s="14" t="s">
        <v>2</v>
      </c>
      <c r="C11" s="14" t="s">
        <v>31</v>
      </c>
      <c r="D11" s="15" t="s">
        <v>83</v>
      </c>
      <c r="E11" s="14" t="s">
        <v>132</v>
      </c>
      <c r="F11" s="15" t="s">
        <v>168</v>
      </c>
      <c r="G11" s="14" t="s">
        <v>205</v>
      </c>
      <c r="H11" s="15" t="s">
        <v>240</v>
      </c>
      <c r="I11" s="14">
        <v>3</v>
      </c>
    </row>
    <row r="12" spans="1:9" ht="15.75" thickBot="1" x14ac:dyDescent="0.3">
      <c r="A12" s="18">
        <f>ROW(A12) - ROW($A$1)</f>
        <v>11</v>
      </c>
      <c r="B12" s="12" t="s">
        <v>2</v>
      </c>
      <c r="C12" s="12" t="s">
        <v>32</v>
      </c>
      <c r="D12" s="13" t="s">
        <v>84</v>
      </c>
      <c r="E12" s="12" t="s">
        <v>131</v>
      </c>
      <c r="F12" s="13" t="s">
        <v>169</v>
      </c>
      <c r="G12" s="12" t="s">
        <v>206</v>
      </c>
      <c r="H12" s="13" t="s">
        <v>240</v>
      </c>
      <c r="I12" s="12">
        <v>1</v>
      </c>
    </row>
    <row r="13" spans="1:9" ht="15.75" thickBot="1" x14ac:dyDescent="0.3">
      <c r="A13" s="18">
        <f t="shared" si="0"/>
        <v>12</v>
      </c>
      <c r="B13" s="14" t="s">
        <v>2</v>
      </c>
      <c r="C13" s="14" t="s">
        <v>33</v>
      </c>
      <c r="D13" s="15" t="s">
        <v>85</v>
      </c>
      <c r="E13" s="14" t="s">
        <v>132</v>
      </c>
      <c r="F13" s="15" t="s">
        <v>170</v>
      </c>
      <c r="G13" s="14" t="s">
        <v>205</v>
      </c>
      <c r="H13" s="15" t="s">
        <v>241</v>
      </c>
      <c r="I13" s="14">
        <v>2</v>
      </c>
    </row>
    <row r="14" spans="1:9" ht="15.75" thickBot="1" x14ac:dyDescent="0.3">
      <c r="A14" s="18">
        <f>ROW(A14) - ROW($A$1)</f>
        <v>13</v>
      </c>
      <c r="B14" s="12" t="s">
        <v>2</v>
      </c>
      <c r="C14" s="12" t="s">
        <v>34</v>
      </c>
      <c r="D14" s="13" t="s">
        <v>86</v>
      </c>
      <c r="E14" s="12" t="s">
        <v>132</v>
      </c>
      <c r="F14" s="13" t="s">
        <v>171</v>
      </c>
      <c r="G14" s="12" t="s">
        <v>206</v>
      </c>
      <c r="H14" s="13" t="s">
        <v>242</v>
      </c>
      <c r="I14" s="12">
        <v>1</v>
      </c>
    </row>
    <row r="15" spans="1:9" ht="15.75" thickBot="1" x14ac:dyDescent="0.3">
      <c r="A15" s="18">
        <f t="shared" si="0"/>
        <v>14</v>
      </c>
      <c r="B15" s="14" t="s">
        <v>2</v>
      </c>
      <c r="C15" s="14" t="s">
        <v>35</v>
      </c>
      <c r="D15" s="15" t="s">
        <v>87</v>
      </c>
      <c r="E15" s="14" t="s">
        <v>132</v>
      </c>
      <c r="F15" s="15" t="s">
        <v>172</v>
      </c>
      <c r="G15" s="14" t="s">
        <v>206</v>
      </c>
      <c r="H15" s="15" t="s">
        <v>243</v>
      </c>
      <c r="I15" s="14">
        <v>1</v>
      </c>
    </row>
    <row r="16" spans="1:9" ht="15.75" thickBot="1" x14ac:dyDescent="0.3">
      <c r="A16" s="18">
        <f>ROW(A16) - ROW($A$1)</f>
        <v>15</v>
      </c>
      <c r="B16" s="12" t="s">
        <v>2</v>
      </c>
      <c r="C16" s="12" t="s">
        <v>36</v>
      </c>
      <c r="D16" s="13" t="s">
        <v>88</v>
      </c>
      <c r="E16" s="12" t="s">
        <v>133</v>
      </c>
      <c r="F16" s="13" t="s">
        <v>173</v>
      </c>
      <c r="G16" s="12" t="s">
        <v>209</v>
      </c>
      <c r="H16" s="13" t="s">
        <v>244</v>
      </c>
      <c r="I16" s="12">
        <v>1</v>
      </c>
    </row>
    <row r="17" spans="1:9" ht="15.75" thickBot="1" x14ac:dyDescent="0.3">
      <c r="A17" s="18">
        <f t="shared" si="0"/>
        <v>16</v>
      </c>
      <c r="B17" s="14" t="s">
        <v>4</v>
      </c>
      <c r="C17" s="14" t="s">
        <v>37</v>
      </c>
      <c r="D17" s="15" t="s">
        <v>89</v>
      </c>
      <c r="E17" s="14" t="s">
        <v>134</v>
      </c>
      <c r="F17" s="15" t="s">
        <v>174</v>
      </c>
      <c r="G17" s="14" t="s">
        <v>210</v>
      </c>
      <c r="H17" s="15" t="s">
        <v>174</v>
      </c>
      <c r="I17" s="14">
        <v>2</v>
      </c>
    </row>
    <row r="18" spans="1:9" ht="15.75" thickBot="1" x14ac:dyDescent="0.3">
      <c r="A18" s="18">
        <f>ROW(A18) - ROW($A$1)</f>
        <v>17</v>
      </c>
      <c r="B18" s="12" t="s">
        <v>5</v>
      </c>
      <c r="C18" s="12" t="s">
        <v>38</v>
      </c>
      <c r="D18" s="13" t="s">
        <v>90</v>
      </c>
      <c r="E18" s="12" t="s">
        <v>135</v>
      </c>
      <c r="F18" s="13" t="s">
        <v>175</v>
      </c>
      <c r="G18" s="12" t="s">
        <v>211</v>
      </c>
      <c r="H18" s="13" t="s">
        <v>175</v>
      </c>
      <c r="I18" s="12">
        <v>1</v>
      </c>
    </row>
    <row r="19" spans="1:9" ht="24.75" thickBot="1" x14ac:dyDescent="0.3">
      <c r="A19" s="18">
        <f t="shared" si="0"/>
        <v>18</v>
      </c>
      <c r="B19" s="14" t="s">
        <v>4</v>
      </c>
      <c r="C19" s="14" t="s">
        <v>39</v>
      </c>
      <c r="D19" s="15" t="s">
        <v>91</v>
      </c>
      <c r="E19" s="14" t="s">
        <v>134</v>
      </c>
      <c r="F19" s="15" t="s">
        <v>176</v>
      </c>
      <c r="G19" s="14" t="s">
        <v>211</v>
      </c>
      <c r="H19" s="15" t="s">
        <v>176</v>
      </c>
      <c r="I19" s="14">
        <v>2</v>
      </c>
    </row>
    <row r="20" spans="1:9" ht="24.75" thickBot="1" x14ac:dyDescent="0.3">
      <c r="A20" s="18">
        <f>ROW(A20) - ROW($A$1)</f>
        <v>19</v>
      </c>
      <c r="B20" s="12" t="s">
        <v>4</v>
      </c>
      <c r="C20" s="12" t="s">
        <v>40</v>
      </c>
      <c r="D20" s="13" t="s">
        <v>92</v>
      </c>
      <c r="E20" s="12" t="s">
        <v>136</v>
      </c>
      <c r="F20" s="13" t="s">
        <v>177</v>
      </c>
      <c r="G20" s="12" t="s">
        <v>212</v>
      </c>
      <c r="H20" s="13" t="s">
        <v>177</v>
      </c>
      <c r="I20" s="12">
        <v>1</v>
      </c>
    </row>
    <row r="21" spans="1:9" ht="36.75" thickBot="1" x14ac:dyDescent="0.3">
      <c r="A21" s="18">
        <f t="shared" si="0"/>
        <v>20</v>
      </c>
      <c r="B21" s="14" t="s">
        <v>6</v>
      </c>
      <c r="C21" s="14" t="s">
        <v>41</v>
      </c>
      <c r="D21" s="15" t="s">
        <v>93</v>
      </c>
      <c r="E21" s="14" t="s">
        <v>137</v>
      </c>
      <c r="F21" s="15" t="s">
        <v>137</v>
      </c>
      <c r="G21" s="14" t="s">
        <v>213</v>
      </c>
      <c r="H21" s="15" t="s">
        <v>137</v>
      </c>
      <c r="I21" s="14">
        <v>1</v>
      </c>
    </row>
    <row r="22" spans="1:9" ht="36.75" thickBot="1" x14ac:dyDescent="0.3">
      <c r="A22" s="18">
        <f>ROW(A22) - ROW($A$1)</f>
        <v>21</v>
      </c>
      <c r="B22" s="12" t="s">
        <v>7</v>
      </c>
      <c r="C22" s="12" t="s">
        <v>42</v>
      </c>
      <c r="D22" s="13" t="s">
        <v>94</v>
      </c>
      <c r="E22" s="12" t="s">
        <v>138</v>
      </c>
      <c r="F22" s="13" t="s">
        <v>178</v>
      </c>
      <c r="G22" s="12" t="s">
        <v>214</v>
      </c>
      <c r="H22" s="13" t="s">
        <v>138</v>
      </c>
      <c r="I22" s="12">
        <v>1</v>
      </c>
    </row>
    <row r="23" spans="1:9" ht="48.75" thickBot="1" x14ac:dyDescent="0.3">
      <c r="A23" s="18">
        <f t="shared" si="0"/>
        <v>22</v>
      </c>
      <c r="B23" s="14" t="s">
        <v>8</v>
      </c>
      <c r="C23" s="14" t="s">
        <v>43</v>
      </c>
      <c r="D23" s="15" t="s">
        <v>95</v>
      </c>
      <c r="E23" s="14" t="s">
        <v>139</v>
      </c>
      <c r="F23" s="15" t="s">
        <v>139</v>
      </c>
      <c r="G23" s="14" t="s">
        <v>215</v>
      </c>
      <c r="H23" s="15" t="s">
        <v>139</v>
      </c>
      <c r="I23" s="14">
        <v>1</v>
      </c>
    </row>
    <row r="24" spans="1:9" ht="36.75" thickBot="1" x14ac:dyDescent="0.3">
      <c r="A24" s="18">
        <f>ROW(A24) - ROW($A$1)</f>
        <v>23</v>
      </c>
      <c r="B24" s="12" t="s">
        <v>9</v>
      </c>
      <c r="C24" s="12" t="s">
        <v>44</v>
      </c>
      <c r="D24" s="13" t="s">
        <v>96</v>
      </c>
      <c r="E24" s="12" t="s">
        <v>140</v>
      </c>
      <c r="F24" s="13" t="s">
        <v>140</v>
      </c>
      <c r="G24" s="12" t="s">
        <v>216</v>
      </c>
      <c r="H24" s="13" t="s">
        <v>245</v>
      </c>
      <c r="I24" s="12">
        <v>1</v>
      </c>
    </row>
    <row r="25" spans="1:9" ht="36.75" thickBot="1" x14ac:dyDescent="0.3">
      <c r="A25" s="18">
        <f t="shared" si="0"/>
        <v>24</v>
      </c>
      <c r="B25" s="14" t="s">
        <v>10</v>
      </c>
      <c r="C25" s="14" t="s">
        <v>45</v>
      </c>
      <c r="D25" s="15" t="s">
        <v>97</v>
      </c>
      <c r="E25" s="14" t="s">
        <v>141</v>
      </c>
      <c r="F25" s="15" t="s">
        <v>141</v>
      </c>
      <c r="G25" s="14" t="s">
        <v>217</v>
      </c>
      <c r="H25" s="15" t="s">
        <v>246</v>
      </c>
      <c r="I25" s="14">
        <v>1</v>
      </c>
    </row>
    <row r="26" spans="1:9" ht="24.75" thickBot="1" x14ac:dyDescent="0.3">
      <c r="A26" s="18">
        <f>ROW(A26) - ROW($A$1)</f>
        <v>25</v>
      </c>
      <c r="B26" s="12" t="s">
        <v>10</v>
      </c>
      <c r="C26" s="12" t="s">
        <v>46</v>
      </c>
      <c r="D26" s="13" t="s">
        <v>98</v>
      </c>
      <c r="E26" s="12" t="s">
        <v>142</v>
      </c>
      <c r="F26" s="13" t="s">
        <v>179</v>
      </c>
      <c r="G26" s="12" t="s">
        <v>218</v>
      </c>
      <c r="H26" s="13" t="s">
        <v>247</v>
      </c>
      <c r="I26" s="12">
        <v>1</v>
      </c>
    </row>
    <row r="27" spans="1:9" ht="15.75" thickBot="1" x14ac:dyDescent="0.3">
      <c r="A27" s="18">
        <f t="shared" si="0"/>
        <v>26</v>
      </c>
      <c r="B27" s="14" t="s">
        <v>10</v>
      </c>
      <c r="C27" s="14" t="s">
        <v>47</v>
      </c>
      <c r="D27" s="15" t="s">
        <v>99</v>
      </c>
      <c r="E27" s="14" t="s">
        <v>142</v>
      </c>
      <c r="F27" s="15" t="s">
        <v>180</v>
      </c>
      <c r="G27" s="14" t="s">
        <v>205</v>
      </c>
      <c r="H27" s="15" t="s">
        <v>248</v>
      </c>
      <c r="I27" s="14">
        <v>1</v>
      </c>
    </row>
    <row r="28" spans="1:9" ht="24.75" thickBot="1" x14ac:dyDescent="0.3">
      <c r="A28" s="18">
        <f>ROW(A28) - ROW($A$1)</f>
        <v>27</v>
      </c>
      <c r="B28" s="12" t="s">
        <v>10</v>
      </c>
      <c r="C28" s="12" t="s">
        <v>48</v>
      </c>
      <c r="D28" s="13" t="s">
        <v>100</v>
      </c>
      <c r="E28" s="12" t="s">
        <v>142</v>
      </c>
      <c r="F28" s="13" t="s">
        <v>181</v>
      </c>
      <c r="G28" s="12" t="s">
        <v>205</v>
      </c>
      <c r="H28" s="13" t="s">
        <v>249</v>
      </c>
      <c r="I28" s="12">
        <v>1</v>
      </c>
    </row>
    <row r="29" spans="1:9" ht="48.75" thickBot="1" x14ac:dyDescent="0.3">
      <c r="A29" s="18">
        <f t="shared" si="0"/>
        <v>28</v>
      </c>
      <c r="B29" s="14" t="s">
        <v>11</v>
      </c>
      <c r="C29" s="14" t="s">
        <v>49</v>
      </c>
      <c r="D29" s="15" t="s">
        <v>101</v>
      </c>
      <c r="E29" s="14" t="s">
        <v>143</v>
      </c>
      <c r="F29" s="15" t="s">
        <v>143</v>
      </c>
      <c r="G29" s="14" t="s">
        <v>219</v>
      </c>
      <c r="H29" s="15" t="s">
        <v>143</v>
      </c>
      <c r="I29" s="14">
        <v>1</v>
      </c>
    </row>
    <row r="30" spans="1:9" ht="15.75" thickBot="1" x14ac:dyDescent="0.3">
      <c r="A30" s="18">
        <f>ROW(A30) - ROW($A$1)</f>
        <v>29</v>
      </c>
      <c r="B30" s="12" t="s">
        <v>12</v>
      </c>
      <c r="C30" s="12" t="s">
        <v>50</v>
      </c>
      <c r="D30" s="13" t="s">
        <v>102</v>
      </c>
      <c r="E30" s="12" t="s">
        <v>144</v>
      </c>
      <c r="F30" s="13"/>
      <c r="G30" s="12"/>
      <c r="H30" s="13" t="s">
        <v>12</v>
      </c>
      <c r="I30" s="12">
        <v>3</v>
      </c>
    </row>
    <row r="31" spans="1:9" ht="48.75" thickBot="1" x14ac:dyDescent="0.3">
      <c r="A31" s="18">
        <f t="shared" si="0"/>
        <v>30</v>
      </c>
      <c r="B31" s="14" t="s">
        <v>13</v>
      </c>
      <c r="C31" s="14" t="s">
        <v>51</v>
      </c>
      <c r="D31" s="15" t="s">
        <v>103</v>
      </c>
      <c r="E31" s="14" t="s">
        <v>145</v>
      </c>
      <c r="F31" s="15" t="s">
        <v>182</v>
      </c>
      <c r="G31" s="14" t="s">
        <v>220</v>
      </c>
      <c r="H31" s="15" t="s">
        <v>182</v>
      </c>
      <c r="I31" s="14">
        <v>1</v>
      </c>
    </row>
    <row r="32" spans="1:9" ht="36.75" thickBot="1" x14ac:dyDescent="0.3">
      <c r="A32" s="18">
        <f>ROW(A32) - ROW($A$1)</f>
        <v>31</v>
      </c>
      <c r="B32" s="12" t="s">
        <v>14</v>
      </c>
      <c r="C32" s="12" t="s">
        <v>52</v>
      </c>
      <c r="D32" s="13" t="s">
        <v>104</v>
      </c>
      <c r="E32" s="12" t="s">
        <v>146</v>
      </c>
      <c r="F32" s="13" t="s">
        <v>183</v>
      </c>
      <c r="G32" s="12" t="s">
        <v>221</v>
      </c>
      <c r="H32" s="13" t="s">
        <v>250</v>
      </c>
      <c r="I32" s="12">
        <v>1</v>
      </c>
    </row>
    <row r="33" spans="1:9" ht="15.75" thickBot="1" x14ac:dyDescent="0.3">
      <c r="A33" s="18">
        <f t="shared" si="0"/>
        <v>32</v>
      </c>
      <c r="B33" s="14" t="s">
        <v>15</v>
      </c>
      <c r="C33" s="14" t="s">
        <v>53</v>
      </c>
      <c r="D33" s="15" t="s">
        <v>105</v>
      </c>
      <c r="E33" s="14" t="s">
        <v>147</v>
      </c>
      <c r="F33" s="15" t="s">
        <v>184</v>
      </c>
      <c r="G33" s="14" t="s">
        <v>222</v>
      </c>
      <c r="H33" s="15" t="s">
        <v>251</v>
      </c>
      <c r="I33" s="14">
        <v>1</v>
      </c>
    </row>
    <row r="34" spans="1:9" ht="15.75" thickBot="1" x14ac:dyDescent="0.3">
      <c r="A34" s="18">
        <f>ROW(A34) - ROW($A$1)</f>
        <v>33</v>
      </c>
      <c r="B34" s="12" t="s">
        <v>15</v>
      </c>
      <c r="C34" s="12" t="s">
        <v>54</v>
      </c>
      <c r="D34" s="13" t="s">
        <v>106</v>
      </c>
      <c r="E34" s="12" t="s">
        <v>148</v>
      </c>
      <c r="F34" s="13" t="s">
        <v>185</v>
      </c>
      <c r="G34" s="12" t="s">
        <v>223</v>
      </c>
      <c r="H34" s="13" t="s">
        <v>252</v>
      </c>
      <c r="I34" s="12">
        <v>2</v>
      </c>
    </row>
    <row r="35" spans="1:9" ht="15.75" thickBot="1" x14ac:dyDescent="0.3">
      <c r="A35" s="18">
        <f t="shared" si="0"/>
        <v>34</v>
      </c>
      <c r="B35" s="14" t="s">
        <v>15</v>
      </c>
      <c r="C35" s="14" t="s">
        <v>55</v>
      </c>
      <c r="D35" s="15" t="s">
        <v>107</v>
      </c>
      <c r="E35" s="14" t="s">
        <v>147</v>
      </c>
      <c r="F35" s="15" t="s">
        <v>186</v>
      </c>
      <c r="G35" s="14" t="s">
        <v>206</v>
      </c>
      <c r="H35" s="15" t="s">
        <v>253</v>
      </c>
      <c r="I35" s="14">
        <v>1</v>
      </c>
    </row>
    <row r="36" spans="1:9" ht="15.75" thickBot="1" x14ac:dyDescent="0.3">
      <c r="A36" s="18">
        <f>ROW(A36) - ROW($A$1)</f>
        <v>35</v>
      </c>
      <c r="B36" s="12" t="s">
        <v>15</v>
      </c>
      <c r="C36" s="12" t="s">
        <v>56</v>
      </c>
      <c r="D36" s="13" t="s">
        <v>108</v>
      </c>
      <c r="E36" s="12" t="s">
        <v>149</v>
      </c>
      <c r="F36" s="13" t="s">
        <v>187</v>
      </c>
      <c r="G36" s="12" t="s">
        <v>223</v>
      </c>
      <c r="H36" s="13" t="s">
        <v>254</v>
      </c>
      <c r="I36" s="12">
        <v>1</v>
      </c>
    </row>
    <row r="37" spans="1:9" ht="15.75" thickBot="1" x14ac:dyDescent="0.3">
      <c r="A37" s="18">
        <f t="shared" si="0"/>
        <v>36</v>
      </c>
      <c r="B37" s="14" t="s">
        <v>15</v>
      </c>
      <c r="C37" s="14" t="s">
        <v>57</v>
      </c>
      <c r="D37" s="15" t="s">
        <v>109</v>
      </c>
      <c r="E37" s="14" t="s">
        <v>150</v>
      </c>
      <c r="F37" s="15" t="s">
        <v>188</v>
      </c>
      <c r="G37" s="14" t="s">
        <v>206</v>
      </c>
      <c r="H37" s="15" t="s">
        <v>255</v>
      </c>
      <c r="I37" s="14">
        <v>2</v>
      </c>
    </row>
    <row r="38" spans="1:9" ht="15.75" thickBot="1" x14ac:dyDescent="0.3">
      <c r="A38" s="18">
        <f>ROW(A38) - ROW($A$1)</f>
        <v>37</v>
      </c>
      <c r="B38" s="12" t="s">
        <v>15</v>
      </c>
      <c r="C38" s="12" t="s">
        <v>58</v>
      </c>
      <c r="D38" s="13" t="s">
        <v>110</v>
      </c>
      <c r="E38" s="12" t="s">
        <v>150</v>
      </c>
      <c r="F38" s="13" t="s">
        <v>189</v>
      </c>
      <c r="G38" s="12" t="s">
        <v>206</v>
      </c>
      <c r="H38" s="13" t="s">
        <v>256</v>
      </c>
      <c r="I38" s="12">
        <v>1</v>
      </c>
    </row>
    <row r="39" spans="1:9" ht="15.75" thickBot="1" x14ac:dyDescent="0.3">
      <c r="A39" s="18">
        <f t="shared" si="0"/>
        <v>38</v>
      </c>
      <c r="B39" s="14" t="s">
        <v>15</v>
      </c>
      <c r="C39" s="14" t="s">
        <v>59</v>
      </c>
      <c r="D39" s="15" t="s">
        <v>111</v>
      </c>
      <c r="E39" s="14" t="s">
        <v>151</v>
      </c>
      <c r="F39" s="15" t="s">
        <v>190</v>
      </c>
      <c r="G39" s="14" t="s">
        <v>206</v>
      </c>
      <c r="H39" s="15" t="s">
        <v>257</v>
      </c>
      <c r="I39" s="14">
        <v>1</v>
      </c>
    </row>
    <row r="40" spans="1:9" ht="15.75" thickBot="1" x14ac:dyDescent="0.3">
      <c r="A40" s="18">
        <f>ROW(A40) - ROW($A$1)</f>
        <v>39</v>
      </c>
      <c r="B40" s="12" t="s">
        <v>15</v>
      </c>
      <c r="C40" s="12" t="s">
        <v>60</v>
      </c>
      <c r="D40" s="13" t="s">
        <v>112</v>
      </c>
      <c r="E40" s="12" t="s">
        <v>151</v>
      </c>
      <c r="F40" s="13" t="s">
        <v>191</v>
      </c>
      <c r="G40" s="12" t="s">
        <v>206</v>
      </c>
      <c r="H40" s="13" t="s">
        <v>255</v>
      </c>
      <c r="I40" s="12">
        <v>1</v>
      </c>
    </row>
    <row r="41" spans="1:9" ht="15.75" thickBot="1" x14ac:dyDescent="0.3">
      <c r="A41" s="18">
        <f t="shared" si="0"/>
        <v>40</v>
      </c>
      <c r="B41" s="14" t="s">
        <v>16</v>
      </c>
      <c r="C41" s="14" t="s">
        <v>61</v>
      </c>
      <c r="D41" s="15" t="s">
        <v>113</v>
      </c>
      <c r="E41" s="14" t="s">
        <v>147</v>
      </c>
      <c r="F41" s="15" t="s">
        <v>192</v>
      </c>
      <c r="G41" s="14" t="s">
        <v>224</v>
      </c>
      <c r="H41" s="15" t="s">
        <v>258</v>
      </c>
      <c r="I41" s="14">
        <v>1</v>
      </c>
    </row>
    <row r="42" spans="1:9" ht="36.75" thickBot="1" x14ac:dyDescent="0.3">
      <c r="A42" s="18">
        <f>ROW(A42) - ROW($A$1)</f>
        <v>41</v>
      </c>
      <c r="B42" s="12" t="s">
        <v>15</v>
      </c>
      <c r="C42" s="12" t="s">
        <v>62</v>
      </c>
      <c r="D42" s="13" t="s">
        <v>114</v>
      </c>
      <c r="E42" s="12" t="s">
        <v>152</v>
      </c>
      <c r="F42" s="13" t="s">
        <v>193</v>
      </c>
      <c r="G42" s="12" t="s">
        <v>221</v>
      </c>
      <c r="H42" s="13" t="s">
        <v>259</v>
      </c>
      <c r="I42" s="12">
        <v>2</v>
      </c>
    </row>
    <row r="43" spans="1:9" ht="15.75" thickBot="1" x14ac:dyDescent="0.3">
      <c r="A43" s="18">
        <f t="shared" si="0"/>
        <v>42</v>
      </c>
      <c r="B43" s="14" t="s">
        <v>15</v>
      </c>
      <c r="C43" s="14" t="s">
        <v>63</v>
      </c>
      <c r="D43" s="15" t="s">
        <v>115</v>
      </c>
      <c r="E43" s="14" t="s">
        <v>150</v>
      </c>
      <c r="F43" s="15" t="s">
        <v>194</v>
      </c>
      <c r="G43" s="14" t="s">
        <v>206</v>
      </c>
      <c r="H43" s="15" t="s">
        <v>260</v>
      </c>
      <c r="I43" s="14">
        <v>1</v>
      </c>
    </row>
    <row r="44" spans="1:9" ht="15.75" thickBot="1" x14ac:dyDescent="0.3">
      <c r="A44" s="18">
        <f>ROW(A44) - ROW($A$1)</f>
        <v>43</v>
      </c>
      <c r="B44" s="12" t="s">
        <v>15</v>
      </c>
      <c r="C44" s="12" t="s">
        <v>64</v>
      </c>
      <c r="D44" s="13" t="s">
        <v>116</v>
      </c>
      <c r="E44" s="12" t="s">
        <v>147</v>
      </c>
      <c r="F44" s="13" t="s">
        <v>195</v>
      </c>
      <c r="G44" s="12" t="s">
        <v>206</v>
      </c>
      <c r="H44" s="13" t="s">
        <v>261</v>
      </c>
      <c r="I44" s="12">
        <v>1</v>
      </c>
    </row>
    <row r="45" spans="1:9" ht="15.75" thickBot="1" x14ac:dyDescent="0.3">
      <c r="A45" s="18">
        <f t="shared" si="0"/>
        <v>44</v>
      </c>
      <c r="B45" s="12" t="s">
        <v>15</v>
      </c>
      <c r="C45" s="14" t="s">
        <v>65</v>
      </c>
      <c r="D45" s="15" t="s">
        <v>117</v>
      </c>
      <c r="E45" s="14" t="s">
        <v>153</v>
      </c>
      <c r="F45" s="15" t="s">
        <v>196</v>
      </c>
      <c r="G45" s="14" t="s">
        <v>225</v>
      </c>
      <c r="H45" s="15" t="s">
        <v>262</v>
      </c>
      <c r="I45" s="14">
        <v>2</v>
      </c>
    </row>
    <row r="46" spans="1:9" ht="15.75" thickBot="1" x14ac:dyDescent="0.3">
      <c r="A46" s="18">
        <f>ROW(A46) - ROW($A$1)</f>
        <v>45</v>
      </c>
      <c r="B46" s="12" t="s">
        <v>15</v>
      </c>
      <c r="C46" s="12" t="s">
        <v>66</v>
      </c>
      <c r="D46" s="13" t="s">
        <v>118</v>
      </c>
      <c r="E46" s="12" t="s">
        <v>150</v>
      </c>
      <c r="F46" s="13" t="s">
        <v>197</v>
      </c>
      <c r="G46" s="12" t="s">
        <v>206</v>
      </c>
      <c r="H46" s="13" t="s">
        <v>263</v>
      </c>
      <c r="I46" s="12">
        <v>1</v>
      </c>
    </row>
    <row r="47" spans="1:9" ht="15.75" thickBot="1" x14ac:dyDescent="0.3">
      <c r="A47" s="18">
        <f t="shared" si="0"/>
        <v>46</v>
      </c>
      <c r="B47" s="14" t="s">
        <v>17</v>
      </c>
      <c r="C47" s="14" t="s">
        <v>67</v>
      </c>
      <c r="D47" s="15" t="s">
        <v>119</v>
      </c>
      <c r="E47" s="14" t="s">
        <v>154</v>
      </c>
      <c r="F47" s="15" t="s">
        <v>154</v>
      </c>
      <c r="G47" s="14" t="s">
        <v>226</v>
      </c>
      <c r="H47" s="15" t="s">
        <v>154</v>
      </c>
      <c r="I47" s="14">
        <v>2</v>
      </c>
    </row>
    <row r="48" spans="1:9" ht="15.75" thickBot="1" x14ac:dyDescent="0.3">
      <c r="A48" s="18">
        <f>ROW(A48) - ROW($A$1)</f>
        <v>47</v>
      </c>
      <c r="B48" s="12" t="s">
        <v>18</v>
      </c>
      <c r="C48" s="12" t="s">
        <v>68</v>
      </c>
      <c r="D48" s="13" t="s">
        <v>120</v>
      </c>
      <c r="E48" s="12" t="s">
        <v>155</v>
      </c>
      <c r="F48" s="13" t="s">
        <v>198</v>
      </c>
      <c r="G48" s="12" t="s">
        <v>211</v>
      </c>
      <c r="H48" s="13" t="s">
        <v>198</v>
      </c>
      <c r="I48" s="12">
        <v>1</v>
      </c>
    </row>
    <row r="49" spans="1:9" ht="36.75" thickBot="1" x14ac:dyDescent="0.3">
      <c r="A49" s="18">
        <f t="shared" si="0"/>
        <v>48</v>
      </c>
      <c r="B49" s="14" t="s">
        <v>18</v>
      </c>
      <c r="C49" s="14" t="s">
        <v>69</v>
      </c>
      <c r="D49" s="15" t="s">
        <v>121</v>
      </c>
      <c r="E49" s="14" t="s">
        <v>156</v>
      </c>
      <c r="F49" s="15" t="s">
        <v>199</v>
      </c>
      <c r="G49" s="14" t="s">
        <v>227</v>
      </c>
      <c r="H49" s="15" t="s">
        <v>199</v>
      </c>
      <c r="I49" s="14">
        <v>1</v>
      </c>
    </row>
    <row r="50" spans="1:9" ht="24.75" thickBot="1" x14ac:dyDescent="0.3">
      <c r="A50" s="18">
        <f>ROW(A50) - ROW($A$1)</f>
        <v>49</v>
      </c>
      <c r="B50" s="12" t="s">
        <v>18</v>
      </c>
      <c r="C50" s="12" t="s">
        <v>70</v>
      </c>
      <c r="D50" s="13" t="s">
        <v>122</v>
      </c>
      <c r="E50" s="12" t="s">
        <v>157</v>
      </c>
      <c r="F50" s="13" t="s">
        <v>200</v>
      </c>
      <c r="G50" s="12" t="s">
        <v>228</v>
      </c>
      <c r="H50" s="13" t="s">
        <v>200</v>
      </c>
      <c r="I50" s="12">
        <v>1</v>
      </c>
    </row>
    <row r="51" spans="1:9" ht="24.75" thickBot="1" x14ac:dyDescent="0.3">
      <c r="A51" s="18">
        <f t="shared" si="0"/>
        <v>50</v>
      </c>
      <c r="B51" s="14" t="s">
        <v>19</v>
      </c>
      <c r="C51" s="14" t="s">
        <v>71</v>
      </c>
      <c r="D51" s="15" t="s">
        <v>123</v>
      </c>
      <c r="E51" s="14" t="s">
        <v>158</v>
      </c>
      <c r="F51" s="15" t="s">
        <v>201</v>
      </c>
      <c r="G51" s="14" t="s">
        <v>229</v>
      </c>
      <c r="H51" s="15" t="s">
        <v>201</v>
      </c>
      <c r="I51" s="14">
        <v>1</v>
      </c>
    </row>
    <row r="52" spans="1:9" ht="24.75" thickBot="1" x14ac:dyDescent="0.3">
      <c r="A52" s="18">
        <f>ROW(A52) - ROW($A$1)</f>
        <v>51</v>
      </c>
      <c r="B52" s="12" t="s">
        <v>20</v>
      </c>
      <c r="C52" s="12" t="s">
        <v>72</v>
      </c>
      <c r="D52" s="13" t="s">
        <v>124</v>
      </c>
      <c r="E52" s="12" t="s">
        <v>159</v>
      </c>
      <c r="F52" s="13" t="s">
        <v>202</v>
      </c>
      <c r="G52" s="12" t="s">
        <v>230</v>
      </c>
      <c r="H52" s="13" t="s">
        <v>264</v>
      </c>
      <c r="I52" s="12">
        <v>1</v>
      </c>
    </row>
    <row r="53" spans="1:9" x14ac:dyDescent="0.25">
      <c r="A53" s="7"/>
      <c r="B53" s="16"/>
      <c r="C53" s="8"/>
      <c r="D53" s="9"/>
      <c r="E53" s="10"/>
      <c r="F53" s="11"/>
      <c r="G53" s="10"/>
      <c r="H53" s="11"/>
      <c r="I53" s="11"/>
    </row>
    <row r="54" spans="1:9" ht="15.75" thickBot="1" x14ac:dyDescent="0.3">
      <c r="A54" s="3"/>
      <c r="B54" s="17"/>
      <c r="C54" s="1"/>
      <c r="D54" s="2"/>
      <c r="E54" s="2"/>
      <c r="F54" s="2"/>
      <c r="G54" s="2"/>
      <c r="H54" s="2"/>
      <c r="I54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Asim Hayat</cp:lastModifiedBy>
  <dcterms:created xsi:type="dcterms:W3CDTF">2019-12-12T10:34:26Z</dcterms:created>
  <dcterms:modified xsi:type="dcterms:W3CDTF">2024-01-15T14:07:45Z</dcterms:modified>
</cp:coreProperties>
</file>